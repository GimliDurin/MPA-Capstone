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mich-my.sharepoint.com/personal/jbr9129_wmich_edu/Documents/Documents/Personal/MPA/PADM 6070/"/>
    </mc:Choice>
  </mc:AlternateContent>
  <xr:revisionPtr revIDLastSave="526" documentId="8_{1F653C7E-8675-4C1A-A0D8-1FA58342D853}" xr6:coauthVersionLast="47" xr6:coauthVersionMax="47" xr10:uidLastSave="{94224C14-F2FC-4B45-ABBF-F9016ED509F7}"/>
  <bookViews>
    <workbookView xWindow="-108" yWindow="-108" windowWidth="23256" windowHeight="12456" firstSheet="2" activeTab="4" xr2:uid="{00000000-000D-0000-FFFF-FFFF00000000}"/>
  </bookViews>
  <sheets>
    <sheet name="Raw Data Sets" sheetId="1" r:id="rId1"/>
    <sheet name="Frequency Distributions" sheetId="2" r:id="rId2"/>
    <sheet name="Descriptive Statistics" sheetId="4" r:id="rId3"/>
    <sheet name="Confidence Intervals" sheetId="3" r:id="rId4"/>
    <sheet name="Statistical Test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4" l="1"/>
  <c r="K13" i="2"/>
  <c r="C27" i="5"/>
  <c r="G11" i="3"/>
  <c r="I11" i="3"/>
  <c r="E11" i="3"/>
  <c r="C11" i="3"/>
  <c r="C3" i="3"/>
  <c r="C2" i="3"/>
  <c r="G7" i="3"/>
  <c r="C7" i="3"/>
  <c r="D33" i="4"/>
  <c r="D6" i="4"/>
  <c r="D43" i="4" l="1"/>
  <c r="D42" i="4"/>
  <c r="D16" i="4"/>
  <c r="D15" i="4"/>
  <c r="D14" i="4"/>
  <c r="D40" i="4"/>
  <c r="D13" i="4"/>
  <c r="D39" i="4"/>
  <c r="D12" i="4"/>
  <c r="D32" i="4"/>
  <c r="D5" i="4"/>
  <c r="D31" i="4"/>
  <c r="D4" i="4"/>
  <c r="D30" i="4"/>
  <c r="D3" i="4"/>
  <c r="L5" i="2"/>
  <c r="B13" i="2"/>
  <c r="K12" i="2"/>
  <c r="B12" i="2"/>
  <c r="K11" i="2"/>
  <c r="B11" i="2"/>
  <c r="L6" i="2"/>
  <c r="C6" i="2"/>
  <c r="C5" i="2"/>
  <c r="L4" i="2"/>
  <c r="C4" i="2"/>
  <c r="L3" i="2"/>
  <c r="C3" i="2"/>
  <c r="H59" i="1"/>
  <c r="H57" i="1"/>
  <c r="D57" i="1"/>
  <c r="D59" i="1"/>
  <c r="H58" i="1"/>
  <c r="D58" i="1"/>
  <c r="I52" i="1"/>
  <c r="I51" i="1"/>
  <c r="I50" i="1"/>
  <c r="I49" i="1"/>
  <c r="E52" i="1"/>
  <c r="E51" i="1"/>
  <c r="E50" i="1"/>
  <c r="E49" i="1"/>
  <c r="E54" i="1" s="1"/>
  <c r="H25" i="1"/>
  <c r="D25" i="1"/>
  <c r="C8" i="2" l="1"/>
  <c r="L8" i="2"/>
  <c r="I54" i="1"/>
</calcChain>
</file>

<file path=xl/sharedStrings.xml><?xml version="1.0" encoding="utf-8"?>
<sst xmlns="http://schemas.openxmlformats.org/spreadsheetml/2006/main" count="142" uniqueCount="73">
  <si>
    <t>Year (Fall term)</t>
  </si>
  <si>
    <t>WMU Grand Total All Students</t>
  </si>
  <si>
    <t>Year</t>
  </si>
  <si>
    <t>https://www.ssa.gov/policy/docs/statcomps/di_asr/</t>
  </si>
  <si>
    <t>https://wmich.edu/institutionalresearch/commondataset</t>
  </si>
  <si>
    <t xml:space="preserve">Disabled Workers Receiving SSDI </t>
  </si>
  <si>
    <t>Class</t>
  </si>
  <si>
    <t>Count</t>
  </si>
  <si>
    <t>6,500,000-7,199,999</t>
  </si>
  <si>
    <t>7,200,000-7,899,999</t>
  </si>
  <si>
    <t>7,900,000-8,599,999</t>
  </si>
  <si>
    <t>8,600,000-9,299,999</t>
  </si>
  <si>
    <t>Percent</t>
  </si>
  <si>
    <t>Total</t>
  </si>
  <si>
    <t>Class Width</t>
  </si>
  <si>
    <t>Simple Method</t>
  </si>
  <si>
    <t>17,500-19699</t>
  </si>
  <si>
    <t>19,700-21899</t>
  </si>
  <si>
    <t>21,900-24099</t>
  </si>
  <si>
    <t>24,100-26299</t>
  </si>
  <si>
    <t>Boundary</t>
  </si>
  <si>
    <t>Boundary Method</t>
  </si>
  <si>
    <t>17,500-19,699</t>
  </si>
  <si>
    <t>19,700-21,899</t>
  </si>
  <si>
    <t>21,900-24,099</t>
  </si>
  <si>
    <t>24,100-26,299</t>
  </si>
  <si>
    <t>Descriptive Statistics</t>
  </si>
  <si>
    <t>Mean</t>
  </si>
  <si>
    <t>Median</t>
  </si>
  <si>
    <t>Mode</t>
  </si>
  <si>
    <t>MidRange</t>
  </si>
  <si>
    <t>Range</t>
  </si>
  <si>
    <t>Population Variance</t>
  </si>
  <si>
    <t>Sample Variance</t>
  </si>
  <si>
    <t>Population Standard Deviation</t>
  </si>
  <si>
    <t>Sample Standard Deviation</t>
  </si>
  <si>
    <t>Column1</t>
  </si>
  <si>
    <t>Standard Error</t>
  </si>
  <si>
    <t>Standard Deviation</t>
  </si>
  <si>
    <t>Kurtosis</t>
  </si>
  <si>
    <t>Skewness</t>
  </si>
  <si>
    <t>Minimum</t>
  </si>
  <si>
    <t>Maximum</t>
  </si>
  <si>
    <t>Sum</t>
  </si>
  <si>
    <t>z/t score</t>
  </si>
  <si>
    <t>t dist, 95%, d.f.=n-1=20-1+19, t=2.093</t>
  </si>
  <si>
    <t>Interval Estimate</t>
  </si>
  <si>
    <t>&lt; Pop. Mean &lt;</t>
  </si>
  <si>
    <t>t=2.093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</si>
  <si>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</si>
  <si>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</si>
  <si>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</si>
  <si>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</si>
  <si>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</si>
  <si>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</si>
  <si>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</si>
  <si>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</si>
  <si>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</si>
  <si>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</si>
  <si>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</si>
  <si>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</si>
  <si>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</si>
  <si>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</si>
  <si>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</si>
  <si>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</si>
  <si>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</si>
  <si>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</si>
  <si>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</si>
  <si>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</si>
  <si>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</si>
  <si>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</si>
  <si>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Correlation Coefficient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</si>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</sst>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71" formatCode="0.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3" fontId="2" fillId="0" borderId="0">
      <alignment horizontal="right"/>
    </xf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3" fontId="2" fillId="2" borderId="0" xfId="1" applyFill="1">
      <alignment horizontal="right"/>
    </xf>
    <xf numFmtId="0" fontId="3" fillId="0" borderId="0" xfId="2"/>
    <xf numFmtId="0" fontId="0" fillId="3" borderId="1" xfId="0" applyFill="1" applyBorder="1"/>
    <xf numFmtId="0" fontId="0" fillId="4" borderId="1" xfId="0" applyFill="1" applyBorder="1"/>
    <xf numFmtId="3" fontId="2" fillId="0" borderId="0" xfId="1">
      <alignment horizontal="right"/>
    </xf>
    <xf numFmtId="0" fontId="5" fillId="0" borderId="0" xfId="0" applyFont="1"/>
    <xf numFmtId="0" fontId="0" fillId="0" borderId="0" xfId="0" quotePrefix="1"/>
    <xf numFmtId="2" fontId="0" fillId="0" borderId="0" xfId="0" quotePrefix="1" applyNumberFormat="1"/>
    <xf numFmtId="2" fontId="5" fillId="0" borderId="0" xfId="0" applyNumberFormat="1" applyFont="1"/>
    <xf numFmtId="9" fontId="0" fillId="0" borderId="0" xfId="3" applyFont="1"/>
    <xf numFmtId="3" fontId="0" fillId="0" borderId="0" xfId="0" applyNumberFormat="1"/>
    <xf numFmtId="3" fontId="0" fillId="3" borderId="1" xfId="0" applyNumberFormat="1" applyFill="1" applyBorder="1"/>
    <xf numFmtId="3" fontId="0" fillId="4" borderId="1" xfId="0" applyNumberFormat="1" applyFill="1" applyBorder="1"/>
    <xf numFmtId="3" fontId="0" fillId="3" borderId="2" xfId="0" applyNumberFormat="1" applyFill="1" applyBorder="1"/>
    <xf numFmtId="9" fontId="5" fillId="0" borderId="0" xfId="3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3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0" fillId="0" borderId="0" xfId="0" applyAlignment="1">
      <alignment horizontal="center"/>
    </xf>
    <xf numFmtId="171" fontId="0" fillId="0" borderId="0" xfId="0" applyNumberFormat="1"/>
  </cellXfs>
  <cellStyles count="4">
    <cellStyle name="Data" xfId="1" xr:uid="{FADFD268-C3DA-42E4-80FA-0B37BD4A8178}"/>
    <cellStyle name="Hyperlink" xfId="2" builtinId="8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WMU Total</a:t>
            </a:r>
            <a:r>
              <a:rPr lang="en-US" b="1" baseline="0"/>
              <a:t> Students '05-'24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 Sets'!$B$1</c:f>
              <c:strCache>
                <c:ptCount val="1"/>
                <c:pt idx="0">
                  <c:v>WMU Grand Total All 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 Sets'!$A$2:$A$21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'Raw Data Sets'!$B$2:$B$21</c:f>
              <c:numCache>
                <c:formatCode>General</c:formatCode>
                <c:ptCount val="20"/>
                <c:pt idx="0">
                  <c:v>26239</c:v>
                </c:pt>
                <c:pt idx="1">
                  <c:v>24841</c:v>
                </c:pt>
                <c:pt idx="2">
                  <c:v>24433</c:v>
                </c:pt>
                <c:pt idx="3">
                  <c:v>24818</c:v>
                </c:pt>
                <c:pt idx="4">
                  <c:v>24576</c:v>
                </c:pt>
                <c:pt idx="5">
                  <c:v>25045</c:v>
                </c:pt>
                <c:pt idx="6">
                  <c:v>25086</c:v>
                </c:pt>
                <c:pt idx="7">
                  <c:v>24598</c:v>
                </c:pt>
                <c:pt idx="8">
                  <c:v>24294</c:v>
                </c:pt>
                <c:pt idx="9">
                  <c:v>23914</c:v>
                </c:pt>
                <c:pt idx="10">
                  <c:v>23556</c:v>
                </c:pt>
                <c:pt idx="11">
                  <c:v>23252</c:v>
                </c:pt>
                <c:pt idx="12">
                  <c:v>22894</c:v>
                </c:pt>
                <c:pt idx="13">
                  <c:v>22562</c:v>
                </c:pt>
                <c:pt idx="14">
                  <c:v>21470</c:v>
                </c:pt>
                <c:pt idx="15">
                  <c:v>20490</c:v>
                </c:pt>
                <c:pt idx="16">
                  <c:v>19038</c:v>
                </c:pt>
                <c:pt idx="17">
                  <c:v>17835</c:v>
                </c:pt>
                <c:pt idx="18">
                  <c:v>17559</c:v>
                </c:pt>
                <c:pt idx="19">
                  <c:v>17605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F-4ACE-B010-EA76D5687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513247"/>
        <c:axId val="788502207"/>
      </c:lineChart>
      <c:catAx>
        <c:axId val="78851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02207"/>
        <c:crosses val="autoZero"/>
        <c:auto val="1"/>
        <c:lblAlgn val="ctr"/>
        <c:lblOffset val="100"/>
        <c:noMultiLvlLbl val="0"/>
      </c:catAx>
      <c:valAx>
        <c:axId val="788502207"/>
        <c:scaling>
          <c:orientation val="minMax"/>
          <c:min val="1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Enrollment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1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Disabled Workers Receiving SSDI '05-'24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 Sets'!$F$1</c:f>
              <c:strCache>
                <c:ptCount val="1"/>
                <c:pt idx="0">
                  <c:v>Disabled Workers Receiving SSDI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 Sets'!$E$2:$E$21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'Raw Data Sets'!$F$2:$F$21</c:f>
              <c:numCache>
                <c:formatCode>#,##0</c:formatCode>
                <c:ptCount val="20"/>
                <c:pt idx="0">
                  <c:v>6519001</c:v>
                </c:pt>
                <c:pt idx="1">
                  <c:v>6806918</c:v>
                </c:pt>
                <c:pt idx="2">
                  <c:v>7098723</c:v>
                </c:pt>
                <c:pt idx="3">
                  <c:v>7426691</c:v>
                </c:pt>
                <c:pt idx="4">
                  <c:v>7788013</c:v>
                </c:pt>
                <c:pt idx="5">
                  <c:v>8203951</c:v>
                </c:pt>
                <c:pt idx="6">
                  <c:v>8575544</c:v>
                </c:pt>
                <c:pt idx="7">
                  <c:v>8826591</c:v>
                </c:pt>
                <c:pt idx="8">
                  <c:v>8940950</c:v>
                </c:pt>
                <c:pt idx="9">
                  <c:v>8954518</c:v>
                </c:pt>
                <c:pt idx="10">
                  <c:v>8909430</c:v>
                </c:pt>
                <c:pt idx="11">
                  <c:v>8808736</c:v>
                </c:pt>
                <c:pt idx="12">
                  <c:v>8695475</c:v>
                </c:pt>
                <c:pt idx="13">
                  <c:v>8537332</c:v>
                </c:pt>
                <c:pt idx="14">
                  <c:v>8378374</c:v>
                </c:pt>
                <c:pt idx="15">
                  <c:v>8151016</c:v>
                </c:pt>
                <c:pt idx="16">
                  <c:v>7877129</c:v>
                </c:pt>
                <c:pt idx="17">
                  <c:v>7604098</c:v>
                </c:pt>
                <c:pt idx="18">
                  <c:v>7365987</c:v>
                </c:pt>
                <c:pt idx="19">
                  <c:v>7231147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2-4E93-BF41-1B3088D26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020224"/>
        <c:axId val="1742017344"/>
      </c:lineChart>
      <c:catAx>
        <c:axId val="1742020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017344"/>
        <c:crosses val="autoZero"/>
        <c:auto val="1"/>
        <c:lblAlgn val="ctr"/>
        <c:lblOffset val="100"/>
        <c:noMultiLvlLbl val="0"/>
      </c:catAx>
      <c:valAx>
        <c:axId val="1742017344"/>
        <c:scaling>
          <c:orientation val="minMax"/>
          <c:max val="9000000"/>
          <c:min val="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Disabled</a:t>
                </a:r>
                <a:r>
                  <a:rPr lang="en-US" b="1" baseline="0"/>
                  <a:t> Workers on SSDI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02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Individuals</a:t>
            </a:r>
            <a:r>
              <a:rPr lang="en-US" b="1" baseline="0"/>
              <a:t> on SSDI '05-'24 - Frequency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Distributions'!$K$1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Distributions'!$J$2:$J$6</c:f>
              <c:strCache>
                <c:ptCount val="5"/>
                <c:pt idx="1">
                  <c:v>6,500,000-7,199,999</c:v>
                </c:pt>
                <c:pt idx="2">
                  <c:v>7,200,000-7,899,999</c:v>
                </c:pt>
                <c:pt idx="3">
                  <c:v>7,900,000-8,599,999</c:v>
                </c:pt>
                <c:pt idx="4">
                  <c:v>8,600,000-9,299,999</c:v>
                </c:pt>
              </c:strCache>
            </c:strRef>
          </c:cat>
          <c:val>
            <c:numRef>
              <c:f>'Frequency Distributions'!$K$2:$K$6</c:f>
              <c:numCache>
                <c:formatCode>General</c:formatCode>
                <c:ptCount val="5"/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E-4F91-8EA6-17745787A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793279"/>
        <c:axId val="801795679"/>
      </c:barChart>
      <c:catAx>
        <c:axId val="80179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Individuals</a:t>
                </a:r>
                <a:r>
                  <a:rPr lang="en-US" b="1" baseline="0"/>
                  <a:t> on SSDI '05-'24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95679"/>
        <c:crosses val="autoZero"/>
        <c:auto val="1"/>
        <c:lblAlgn val="ctr"/>
        <c:lblOffset val="100"/>
        <c:noMultiLvlLbl val="0"/>
      </c:catAx>
      <c:valAx>
        <c:axId val="8017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9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WMU Enrollment '05-'24 - Frequency</a:t>
            </a:r>
            <a:r>
              <a:rPr lang="en-US" b="1" baseline="0"/>
              <a:t> Distribution</a:t>
            </a:r>
            <a:endParaRPr lang="en-US" b="1"/>
          </a:p>
        </c:rich>
      </c:tx>
      <c:layout>
        <c:manualLayout>
          <c:xMode val="edge"/>
          <c:yMode val="edge"/>
          <c:x val="0.1544026684164479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Distributions'!$A$2:$A$6</c:f>
              <c:strCache>
                <c:ptCount val="5"/>
                <c:pt idx="1">
                  <c:v>17,500-19,699</c:v>
                </c:pt>
                <c:pt idx="2">
                  <c:v>19,700-21,899</c:v>
                </c:pt>
                <c:pt idx="3">
                  <c:v>21,900-24,099</c:v>
                </c:pt>
                <c:pt idx="4">
                  <c:v>24,100-26,299</c:v>
                </c:pt>
              </c:strCache>
            </c:strRef>
          </c:cat>
          <c:val>
            <c:numRef>
              <c:f>'Frequency Distributions'!$B$2:$B$6</c:f>
              <c:numCache>
                <c:formatCode>General</c:formatCode>
                <c:ptCount val="5"/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D-429E-B09C-9ACBEC98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2029503"/>
        <c:axId val="899322447"/>
      </c:barChart>
      <c:catAx>
        <c:axId val="79202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WMU Enrollment '05-'24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322447"/>
        <c:crosses val="autoZero"/>
        <c:auto val="1"/>
        <c:lblAlgn val="ctr"/>
        <c:lblOffset val="100"/>
        <c:noMultiLvlLbl val="0"/>
      </c:catAx>
      <c:valAx>
        <c:axId val="8993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layout>
            <c:manualLayout>
              <c:xMode val="edge"/>
              <c:yMode val="edge"/>
              <c:x val="3.888888888888889E-2"/>
              <c:y val="0.41066345873432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2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</xdr:colOff>
      <xdr:row>1</xdr:row>
      <xdr:rowOff>180981</xdr:rowOff>
    </xdr:from>
    <xdr:to>
      <xdr:col>17</xdr:col>
      <xdr:colOff>347662</xdr:colOff>
      <xdr:row>16</xdr:row>
      <xdr:rowOff>66681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89BC06-027E-79D5-AB54-327C55338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61912</xdr:colOff>
      <xdr:row>21</xdr:row>
      <xdr:rowOff>9531</xdr:rowOff>
    </xdr:from>
    <xdr:to>
      <xdr:col>17</xdr:col>
      <xdr:colOff>366712</xdr:colOff>
      <xdr:row>35</xdr:row>
      <xdr:rowOff>85731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9B1F27-E028-54D6-6EC4-4CA9B5145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</xdr:colOff>
      <xdr:row>14</xdr:row>
      <xdr:rowOff>4762</xdr:rowOff>
    </xdr:from>
    <xdr:to>
      <xdr:col>15</xdr:col>
      <xdr:colOff>319087</xdr:colOff>
      <xdr:row>28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A1CF96-C559-42FC-6E32-E01106DED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14287</xdr:rowOff>
    </xdr:from>
    <xdr:to>
      <xdr:col>6</xdr:col>
      <xdr:colOff>371475</xdr:colOff>
      <xdr:row>28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C74A35-1306-51FF-BB43-7F63A1F21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MUEnrollment" displayName="WMUEnrollment" ref="A1:B21">
  <autoFilter ref="A1:B21" xr:uid="{00000000-0009-0000-0100-000001000000}"/>
  <tableColumns count="2">
    <tableColumn id="1" xr3:uid="{00000000-0010-0000-0000-000001000000}" name="Year (Fall term)"/>
    <tableColumn id="2" xr3:uid="{00000000-0010-0000-0000-000002000000}" name="WMU Grand Total All Studen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41F5FA-8694-4403-A720-2932B22A1854}" name="WMUEnrollment3" displayName="WMUEnrollment3" ref="A3:B23">
  <autoFilter ref="A3:B23" xr:uid="{5841F5FA-8694-4403-A720-2932B22A1854}"/>
  <sortState xmlns:xlrd2="http://schemas.microsoft.com/office/spreadsheetml/2017/richdata2" ref="A4:B23">
    <sortCondition ref="B4:B23"/>
  </sortState>
  <tableColumns count="2">
    <tableColumn id="1" xr3:uid="{84080B11-BB6B-4A82-A373-F754CD007A16}" name="Column1"/>
    <tableColumn id="2" xr3:uid="{DEB0FDBA-6F65-4213-98AE-0FDC25800A0E}" name="WMU Grand Total All Studen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36C954-37B2-4A9E-9EE8-692DB01D7706}" name="WMUEnrollment4" displayName="WMUEnrollment4" ref="B2:C22">
  <autoFilter ref="B2:C22" xr:uid="{0736C954-37B2-4A9E-9EE8-692DB01D7706}"/>
  <tableColumns count="2">
    <tableColumn id="1" xr3:uid="{F033B911-E62C-4F0F-A18A-8CA555F847BB}" name="Year (Fall term)"/>
    <tableColumn id="2" xr3:uid="{A756DB94-7C1C-463C-A6E6-A41A4E4C7B20}" name="WMU Grand Total Al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sa.gov/policy/docs/statcomps/di_asr/" TargetMode="External"/><Relationship Id="rId1" Type="http://schemas.openxmlformats.org/officeDocument/2006/relationships/hyperlink" Target="https://wmich.edu/institutionalresearch/commondataset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workbookViewId="0">
      <pane ySplit="1" topLeftCell="A50" activePane="bottomLeft" state="frozen"/>
      <selection pane="bottomLeft" activeCell="E23" sqref="E23"/>
    </sheetView>
  </sheetViews>
  <sheetFormatPr defaultRowHeight="14.4" x14ac:dyDescent="0.3"/>
  <cols>
    <col min="1" max="1" width="16" customWidth="1"/>
    <col min="2" max="2" width="28" customWidth="1"/>
    <col min="3" max="3" width="18.44140625" customWidth="1"/>
    <col min="7" max="7" width="18.33203125" customWidth="1"/>
  </cols>
  <sheetData>
    <row r="1" spans="1:10" x14ac:dyDescent="0.3">
      <c r="A1" s="1" t="s">
        <v>0</v>
      </c>
      <c r="B1" s="1" t="s">
        <v>1</v>
      </c>
      <c r="E1" t="s">
        <v>2</v>
      </c>
      <c r="F1" t="s">
        <v>5</v>
      </c>
    </row>
    <row r="2" spans="1:10" x14ac:dyDescent="0.3">
      <c r="A2">
        <v>2005</v>
      </c>
      <c r="B2">
        <v>26239</v>
      </c>
      <c r="E2">
        <v>2005</v>
      </c>
      <c r="F2" s="2">
        <v>6519001</v>
      </c>
      <c r="J2" s="6"/>
    </row>
    <row r="3" spans="1:10" x14ac:dyDescent="0.3">
      <c r="A3">
        <v>2006</v>
      </c>
      <c r="B3">
        <v>24841</v>
      </c>
      <c r="E3">
        <v>2006</v>
      </c>
      <c r="F3" s="2">
        <v>6806918</v>
      </c>
      <c r="J3" s="6"/>
    </row>
    <row r="4" spans="1:10" x14ac:dyDescent="0.3">
      <c r="A4">
        <v>2007</v>
      </c>
      <c r="B4">
        <v>24433</v>
      </c>
      <c r="E4">
        <v>2007</v>
      </c>
      <c r="F4" s="2">
        <v>7098723</v>
      </c>
      <c r="J4" s="6"/>
    </row>
    <row r="5" spans="1:10" x14ac:dyDescent="0.3">
      <c r="A5">
        <v>2008</v>
      </c>
      <c r="B5">
        <v>24818</v>
      </c>
      <c r="E5">
        <v>2008</v>
      </c>
      <c r="F5" s="2">
        <v>7426691</v>
      </c>
      <c r="J5" s="6"/>
    </row>
    <row r="6" spans="1:10" x14ac:dyDescent="0.3">
      <c r="A6">
        <v>2009</v>
      </c>
      <c r="B6">
        <v>24576</v>
      </c>
      <c r="E6">
        <v>2009</v>
      </c>
      <c r="F6" s="2">
        <v>7788013</v>
      </c>
      <c r="J6" s="6"/>
    </row>
    <row r="7" spans="1:10" x14ac:dyDescent="0.3">
      <c r="A7">
        <v>2010</v>
      </c>
      <c r="B7">
        <v>25045</v>
      </c>
      <c r="E7">
        <v>2010</v>
      </c>
      <c r="F7" s="2">
        <v>8203951</v>
      </c>
      <c r="J7" s="6"/>
    </row>
    <row r="8" spans="1:10" x14ac:dyDescent="0.3">
      <c r="A8">
        <v>2011</v>
      </c>
      <c r="B8">
        <v>25086</v>
      </c>
      <c r="E8">
        <v>2011</v>
      </c>
      <c r="F8" s="2">
        <v>8575544</v>
      </c>
      <c r="J8" s="6"/>
    </row>
    <row r="9" spans="1:10" x14ac:dyDescent="0.3">
      <c r="A9">
        <v>2012</v>
      </c>
      <c r="B9">
        <v>24598</v>
      </c>
      <c r="E9">
        <v>2012</v>
      </c>
      <c r="F9" s="2">
        <v>8826591</v>
      </c>
      <c r="J9" s="6"/>
    </row>
    <row r="10" spans="1:10" x14ac:dyDescent="0.3">
      <c r="A10">
        <v>2013</v>
      </c>
      <c r="B10">
        <v>24294</v>
      </c>
      <c r="E10">
        <v>2013</v>
      </c>
      <c r="F10" s="2">
        <v>8940950</v>
      </c>
      <c r="J10" s="6"/>
    </row>
    <row r="11" spans="1:10" x14ac:dyDescent="0.3">
      <c r="A11">
        <v>2014</v>
      </c>
      <c r="B11">
        <v>23914</v>
      </c>
      <c r="E11">
        <v>2014</v>
      </c>
      <c r="F11" s="2">
        <v>8954518</v>
      </c>
      <c r="J11" s="6"/>
    </row>
    <row r="12" spans="1:10" x14ac:dyDescent="0.3">
      <c r="A12">
        <v>2015</v>
      </c>
      <c r="B12">
        <v>23556</v>
      </c>
      <c r="E12">
        <v>2015</v>
      </c>
      <c r="F12" s="2">
        <v>8909430</v>
      </c>
      <c r="J12" s="6"/>
    </row>
    <row r="13" spans="1:10" x14ac:dyDescent="0.3">
      <c r="A13">
        <v>2016</v>
      </c>
      <c r="B13">
        <v>23252</v>
      </c>
      <c r="E13">
        <v>2016</v>
      </c>
      <c r="F13" s="2">
        <v>8808736</v>
      </c>
      <c r="J13" s="6"/>
    </row>
    <row r="14" spans="1:10" x14ac:dyDescent="0.3">
      <c r="A14">
        <v>2017</v>
      </c>
      <c r="B14">
        <v>22894</v>
      </c>
      <c r="E14">
        <v>2017</v>
      </c>
      <c r="F14" s="2">
        <v>8695475</v>
      </c>
      <c r="J14" s="6"/>
    </row>
    <row r="15" spans="1:10" x14ac:dyDescent="0.3">
      <c r="A15">
        <v>2018</v>
      </c>
      <c r="B15">
        <v>22562</v>
      </c>
      <c r="E15">
        <v>2018</v>
      </c>
      <c r="F15" s="2">
        <v>8537332</v>
      </c>
      <c r="J15" s="6"/>
    </row>
    <row r="16" spans="1:10" x14ac:dyDescent="0.3">
      <c r="A16">
        <v>2019</v>
      </c>
      <c r="B16">
        <v>21470</v>
      </c>
      <c r="E16">
        <v>2019</v>
      </c>
      <c r="F16" s="2">
        <v>8378374</v>
      </c>
      <c r="J16" s="6"/>
    </row>
    <row r="17" spans="1:10" x14ac:dyDescent="0.3">
      <c r="A17">
        <v>2020</v>
      </c>
      <c r="B17">
        <v>20490</v>
      </c>
      <c r="E17">
        <v>2020</v>
      </c>
      <c r="F17" s="2">
        <v>8151016</v>
      </c>
      <c r="J17" s="6"/>
    </row>
    <row r="18" spans="1:10" x14ac:dyDescent="0.3">
      <c r="A18">
        <v>2021</v>
      </c>
      <c r="B18">
        <v>19038</v>
      </c>
      <c r="E18">
        <v>2021</v>
      </c>
      <c r="F18" s="2">
        <v>7877129</v>
      </c>
      <c r="J18" s="6"/>
    </row>
    <row r="19" spans="1:10" x14ac:dyDescent="0.3">
      <c r="A19">
        <v>2022</v>
      </c>
      <c r="B19">
        <v>17835</v>
      </c>
      <c r="E19">
        <v>2022</v>
      </c>
      <c r="F19" s="2">
        <v>7604098</v>
      </c>
      <c r="J19" s="6"/>
    </row>
    <row r="20" spans="1:10" x14ac:dyDescent="0.3">
      <c r="A20">
        <v>2023</v>
      </c>
      <c r="B20">
        <v>17559</v>
      </c>
      <c r="E20">
        <v>2023</v>
      </c>
      <c r="F20" s="2">
        <v>7365987</v>
      </c>
      <c r="J20" s="6"/>
    </row>
    <row r="21" spans="1:10" x14ac:dyDescent="0.3">
      <c r="A21">
        <v>2024</v>
      </c>
      <c r="B21">
        <v>17605</v>
      </c>
      <c r="E21">
        <v>2024</v>
      </c>
      <c r="F21" s="2">
        <v>7231147</v>
      </c>
      <c r="J21" s="6"/>
    </row>
    <row r="23" spans="1:10" x14ac:dyDescent="0.3">
      <c r="A23" s="3" t="s">
        <v>4</v>
      </c>
      <c r="E23" s="3" t="s">
        <v>3</v>
      </c>
    </row>
    <row r="25" spans="1:10" x14ac:dyDescent="0.3">
      <c r="D25">
        <f>(26239-17559)/4</f>
        <v>2170</v>
      </c>
      <c r="F25" s="6"/>
      <c r="H25">
        <f>(8954518-6519001)/4</f>
        <v>608879.25</v>
      </c>
    </row>
    <row r="26" spans="1:10" x14ac:dyDescent="0.3">
      <c r="B26" s="4">
        <v>17559</v>
      </c>
      <c r="F26" s="2">
        <v>6519001</v>
      </c>
      <c r="G26" s="6"/>
    </row>
    <row r="27" spans="1:10" x14ac:dyDescent="0.3">
      <c r="B27" s="5">
        <v>17605</v>
      </c>
      <c r="F27" s="2">
        <v>6806918</v>
      </c>
      <c r="G27" s="6"/>
    </row>
    <row r="28" spans="1:10" x14ac:dyDescent="0.3">
      <c r="B28" s="5">
        <v>17835</v>
      </c>
      <c r="F28" s="2">
        <v>7098723</v>
      </c>
      <c r="G28" s="6"/>
    </row>
    <row r="29" spans="1:10" x14ac:dyDescent="0.3">
      <c r="B29" s="13">
        <v>19038</v>
      </c>
      <c r="F29" s="2">
        <v>7231147</v>
      </c>
      <c r="G29" s="6"/>
    </row>
    <row r="30" spans="1:10" x14ac:dyDescent="0.3">
      <c r="B30" s="14">
        <v>20490</v>
      </c>
      <c r="F30" s="2">
        <v>7365987</v>
      </c>
      <c r="G30" s="6"/>
    </row>
    <row r="31" spans="1:10" x14ac:dyDescent="0.3">
      <c r="B31" s="13">
        <v>21470</v>
      </c>
      <c r="F31" s="2">
        <v>7426691</v>
      </c>
      <c r="G31" s="6"/>
    </row>
    <row r="32" spans="1:10" x14ac:dyDescent="0.3">
      <c r="B32" s="14">
        <v>22562</v>
      </c>
      <c r="F32" s="2">
        <v>7604098</v>
      </c>
      <c r="G32" s="6"/>
    </row>
    <row r="33" spans="2:9" x14ac:dyDescent="0.3">
      <c r="B33" s="13">
        <v>22894</v>
      </c>
      <c r="F33" s="2">
        <v>7788013</v>
      </c>
      <c r="G33" s="6"/>
    </row>
    <row r="34" spans="2:9" x14ac:dyDescent="0.3">
      <c r="B34" s="14">
        <v>23252</v>
      </c>
      <c r="F34" s="2">
        <v>7877129</v>
      </c>
      <c r="G34" s="6"/>
    </row>
    <row r="35" spans="2:9" x14ac:dyDescent="0.3">
      <c r="B35" s="13">
        <v>23556</v>
      </c>
      <c r="F35" s="2">
        <v>8151016</v>
      </c>
      <c r="G35" s="6"/>
    </row>
    <row r="36" spans="2:9" x14ac:dyDescent="0.3">
      <c r="B36" s="14">
        <v>23914</v>
      </c>
      <c r="F36" s="2">
        <v>8203951</v>
      </c>
      <c r="G36" s="6"/>
    </row>
    <row r="37" spans="2:9" x14ac:dyDescent="0.3">
      <c r="B37" s="13">
        <v>24294</v>
      </c>
      <c r="F37" s="2">
        <v>8378374</v>
      </c>
      <c r="G37" s="6"/>
    </row>
    <row r="38" spans="2:9" x14ac:dyDescent="0.3">
      <c r="B38" s="13">
        <v>24433</v>
      </c>
      <c r="F38" s="2">
        <v>8537332</v>
      </c>
      <c r="G38" s="6"/>
    </row>
    <row r="39" spans="2:9" x14ac:dyDescent="0.3">
      <c r="B39" s="13">
        <v>24576</v>
      </c>
      <c r="F39" s="2">
        <v>8575544</v>
      </c>
      <c r="G39" s="6"/>
    </row>
    <row r="40" spans="2:9" x14ac:dyDescent="0.3">
      <c r="B40" s="14">
        <v>24598</v>
      </c>
      <c r="F40" s="2">
        <v>8695475</v>
      </c>
      <c r="G40" s="6"/>
    </row>
    <row r="41" spans="2:9" x14ac:dyDescent="0.3">
      <c r="B41" s="14">
        <v>24818</v>
      </c>
      <c r="F41" s="2">
        <v>8808736</v>
      </c>
      <c r="G41" s="6"/>
    </row>
    <row r="42" spans="2:9" x14ac:dyDescent="0.3">
      <c r="B42" s="14">
        <v>24841</v>
      </c>
      <c r="F42" s="2">
        <v>8826591</v>
      </c>
      <c r="G42" s="6"/>
    </row>
    <row r="43" spans="2:9" x14ac:dyDescent="0.3">
      <c r="B43" s="14">
        <v>25045</v>
      </c>
      <c r="F43" s="2">
        <v>8909430</v>
      </c>
      <c r="G43" s="6"/>
    </row>
    <row r="44" spans="2:9" x14ac:dyDescent="0.3">
      <c r="B44" s="13">
        <v>25086</v>
      </c>
      <c r="F44" s="2">
        <v>8940950</v>
      </c>
      <c r="G44" s="6"/>
    </row>
    <row r="45" spans="2:9" x14ac:dyDescent="0.3">
      <c r="B45" s="15">
        <v>26239</v>
      </c>
      <c r="F45" s="2">
        <v>8954518</v>
      </c>
      <c r="G45" s="6"/>
    </row>
    <row r="47" spans="2:9" x14ac:dyDescent="0.3">
      <c r="C47" s="7" t="s">
        <v>6</v>
      </c>
      <c r="D47" s="7" t="s">
        <v>7</v>
      </c>
      <c r="E47" s="7" t="s">
        <v>12</v>
      </c>
      <c r="G47" s="7" t="s">
        <v>6</v>
      </c>
      <c r="H47" s="7" t="s">
        <v>7</v>
      </c>
      <c r="I47" s="7" t="s">
        <v>12</v>
      </c>
    </row>
    <row r="48" spans="2:9" x14ac:dyDescent="0.3">
      <c r="C48" s="7"/>
      <c r="D48" s="7"/>
      <c r="E48" s="7"/>
      <c r="G48" s="7"/>
      <c r="H48" s="7"/>
      <c r="I48" s="7"/>
    </row>
    <row r="49" spans="3:9" x14ac:dyDescent="0.3">
      <c r="C49" s="8" t="s">
        <v>16</v>
      </c>
      <c r="D49">
        <v>4</v>
      </c>
      <c r="E49" s="11">
        <f>4/20</f>
        <v>0.2</v>
      </c>
      <c r="G49" s="8" t="s">
        <v>8</v>
      </c>
      <c r="H49">
        <v>3</v>
      </c>
      <c r="I49" s="11">
        <f>3/20</f>
        <v>0.15</v>
      </c>
    </row>
    <row r="50" spans="3:9" x14ac:dyDescent="0.3">
      <c r="C50" t="s">
        <v>17</v>
      </c>
      <c r="D50">
        <v>2</v>
      </c>
      <c r="E50" s="11">
        <f>2/20</f>
        <v>0.1</v>
      </c>
      <c r="G50" s="9" t="s">
        <v>9</v>
      </c>
      <c r="H50">
        <v>6</v>
      </c>
      <c r="I50" s="11">
        <f>6/20</f>
        <v>0.3</v>
      </c>
    </row>
    <row r="51" spans="3:9" x14ac:dyDescent="0.3">
      <c r="C51" s="8" t="s">
        <v>18</v>
      </c>
      <c r="D51">
        <v>5</v>
      </c>
      <c r="E51" s="11">
        <f>5/20</f>
        <v>0.25</v>
      </c>
      <c r="G51" s="9" t="s">
        <v>10</v>
      </c>
      <c r="H51">
        <v>5</v>
      </c>
      <c r="I51" s="11">
        <f>5/20</f>
        <v>0.25</v>
      </c>
    </row>
    <row r="52" spans="3:9" x14ac:dyDescent="0.3">
      <c r="C52" s="8" t="s">
        <v>19</v>
      </c>
      <c r="D52">
        <v>9</v>
      </c>
      <c r="E52" s="11">
        <f>9/20</f>
        <v>0.45</v>
      </c>
      <c r="G52" s="9" t="s">
        <v>11</v>
      </c>
      <c r="H52">
        <v>6</v>
      </c>
      <c r="I52" s="11">
        <f>6/20</f>
        <v>0.3</v>
      </c>
    </row>
    <row r="53" spans="3:9" x14ac:dyDescent="0.3">
      <c r="C53" s="8"/>
      <c r="E53" s="11"/>
      <c r="G53" s="9"/>
      <c r="I53" s="11"/>
    </row>
    <row r="54" spans="3:9" x14ac:dyDescent="0.3">
      <c r="C54" s="7" t="s">
        <v>13</v>
      </c>
      <c r="D54" s="7">
        <v>20</v>
      </c>
      <c r="E54" s="11">
        <f>SUM(E49:E52)</f>
        <v>1</v>
      </c>
      <c r="G54" s="10" t="s">
        <v>13</v>
      </c>
      <c r="H54" s="7">
        <v>20</v>
      </c>
      <c r="I54" s="11">
        <f>SUM(I49:I52)</f>
        <v>1</v>
      </c>
    </row>
    <row r="56" spans="3:9" x14ac:dyDescent="0.3">
      <c r="C56" s="7" t="s">
        <v>14</v>
      </c>
      <c r="G56" s="10" t="s">
        <v>14</v>
      </c>
    </row>
    <row r="57" spans="3:9" x14ac:dyDescent="0.3">
      <c r="C57" s="7" t="s">
        <v>15</v>
      </c>
      <c r="D57" s="12">
        <f>(19699-17500)</f>
        <v>2199</v>
      </c>
      <c r="G57" s="7" t="s">
        <v>15</v>
      </c>
      <c r="H57" s="12">
        <f>(7199999-6500000)</f>
        <v>699999</v>
      </c>
    </row>
    <row r="58" spans="3:9" x14ac:dyDescent="0.3">
      <c r="C58" s="7" t="s">
        <v>20</v>
      </c>
      <c r="D58">
        <f>(19700-19699)/2</f>
        <v>0.5</v>
      </c>
      <c r="G58" s="7" t="s">
        <v>20</v>
      </c>
      <c r="H58">
        <f>(7200000-7199999)/2</f>
        <v>0.5</v>
      </c>
    </row>
    <row r="59" spans="3:9" x14ac:dyDescent="0.3">
      <c r="C59" s="7" t="s">
        <v>21</v>
      </c>
      <c r="D59">
        <f>(19699.5-17499.5)</f>
        <v>2200</v>
      </c>
      <c r="G59" s="7" t="s">
        <v>21</v>
      </c>
      <c r="H59">
        <f>(7199999.5-6499999.5)</f>
        <v>700000</v>
      </c>
    </row>
  </sheetData>
  <sortState xmlns:xlrd2="http://schemas.microsoft.com/office/spreadsheetml/2017/richdata2" ref="B26:B45">
    <sortCondition ref="B26:B45"/>
  </sortState>
  <hyperlinks>
    <hyperlink ref="A23" r:id="rId1" xr:uid="{DA858482-7307-4DCC-A9CA-3F24C0015AFB}"/>
    <hyperlink ref="E23" r:id="rId2" xr:uid="{0A73F337-F1CE-4531-92CF-E6C4BB404594}"/>
  </hyperlinks>
  <pageMargins left="0.75" right="0.75" top="1" bottom="1" header="0.5" footer="0.5"/>
  <pageSetup orientation="portrait" r:id="rId3"/>
  <ignoredErrors>
    <ignoredError sqref="I51" formula="1"/>
  </ignoredErrors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5898-613F-4651-9502-7AC8B27627F2}">
  <dimension ref="A1:L13"/>
  <sheetViews>
    <sheetView topLeftCell="A13" workbookViewId="0">
      <selection activeCell="E32" sqref="E32"/>
    </sheetView>
  </sheetViews>
  <sheetFormatPr defaultRowHeight="14.4" x14ac:dyDescent="0.3"/>
  <cols>
    <col min="1" max="1" width="17.33203125" bestFit="1" customWidth="1"/>
    <col min="10" max="10" width="18.33203125" bestFit="1" customWidth="1"/>
  </cols>
  <sheetData>
    <row r="1" spans="1:12" x14ac:dyDescent="0.3">
      <c r="A1" s="7" t="s">
        <v>6</v>
      </c>
      <c r="B1" s="7" t="s">
        <v>7</v>
      </c>
      <c r="C1" s="7" t="s">
        <v>12</v>
      </c>
      <c r="D1" s="7"/>
      <c r="E1" s="7"/>
      <c r="F1" s="7"/>
      <c r="G1" s="7"/>
      <c r="H1" s="7"/>
      <c r="J1" s="7" t="s">
        <v>6</v>
      </c>
      <c r="K1" s="7" t="s">
        <v>7</v>
      </c>
      <c r="L1" s="7" t="s">
        <v>12</v>
      </c>
    </row>
    <row r="2" spans="1:12" x14ac:dyDescent="0.3">
      <c r="A2" s="7"/>
      <c r="B2" s="7"/>
      <c r="C2" s="7"/>
      <c r="D2" s="7"/>
      <c r="E2" s="7"/>
      <c r="F2" s="7"/>
      <c r="G2" s="7"/>
      <c r="H2" s="7"/>
      <c r="J2" s="7"/>
      <c r="K2" s="7"/>
      <c r="L2" s="7"/>
    </row>
    <row r="3" spans="1:12" x14ac:dyDescent="0.3">
      <c r="A3" s="8" t="s">
        <v>22</v>
      </c>
      <c r="B3">
        <v>4</v>
      </c>
      <c r="C3" s="11">
        <f>4/20</f>
        <v>0.2</v>
      </c>
      <c r="D3" s="11"/>
      <c r="E3" s="11"/>
      <c r="F3" s="11"/>
      <c r="G3" s="11"/>
      <c r="H3" s="11"/>
      <c r="J3" s="8" t="s">
        <v>8</v>
      </c>
      <c r="K3">
        <v>3</v>
      </c>
      <c r="L3" s="11">
        <f>3/20</f>
        <v>0.15</v>
      </c>
    </row>
    <row r="4" spans="1:12" x14ac:dyDescent="0.3">
      <c r="A4" t="s">
        <v>23</v>
      </c>
      <c r="B4">
        <v>2</v>
      </c>
      <c r="C4" s="11">
        <f>2/20</f>
        <v>0.1</v>
      </c>
      <c r="D4" s="11"/>
      <c r="E4" s="11"/>
      <c r="F4" s="11"/>
      <c r="G4" s="11"/>
      <c r="H4" s="11"/>
      <c r="J4" s="9" t="s">
        <v>9</v>
      </c>
      <c r="K4">
        <v>6</v>
      </c>
      <c r="L4" s="11">
        <f>6/20</f>
        <v>0.3</v>
      </c>
    </row>
    <row r="5" spans="1:12" x14ac:dyDescent="0.3">
      <c r="A5" s="8" t="s">
        <v>24</v>
      </c>
      <c r="B5">
        <v>5</v>
      </c>
      <c r="C5" s="11">
        <f>5/20</f>
        <v>0.25</v>
      </c>
      <c r="D5" s="11"/>
      <c r="E5" s="11"/>
      <c r="F5" s="11"/>
      <c r="G5" s="11"/>
      <c r="H5" s="11"/>
      <c r="J5" s="9" t="s">
        <v>10</v>
      </c>
      <c r="K5">
        <v>5</v>
      </c>
      <c r="L5" s="11">
        <f>5/20</f>
        <v>0.25</v>
      </c>
    </row>
    <row r="6" spans="1:12" x14ac:dyDescent="0.3">
      <c r="A6" s="8" t="s">
        <v>25</v>
      </c>
      <c r="B6">
        <v>9</v>
      </c>
      <c r="C6" s="11">
        <f>9/20</f>
        <v>0.45</v>
      </c>
      <c r="D6" s="11"/>
      <c r="E6" s="11"/>
      <c r="F6" s="11"/>
      <c r="G6" s="11"/>
      <c r="H6" s="11"/>
      <c r="J6" s="9" t="s">
        <v>11</v>
      </c>
      <c r="K6">
        <v>6</v>
      </c>
      <c r="L6" s="11">
        <f>6/20</f>
        <v>0.3</v>
      </c>
    </row>
    <row r="7" spans="1:12" x14ac:dyDescent="0.3">
      <c r="A7" s="8"/>
      <c r="C7" s="11"/>
      <c r="D7" s="11"/>
      <c r="E7" s="11"/>
      <c r="F7" s="11"/>
      <c r="G7" s="11"/>
      <c r="H7" s="11"/>
      <c r="J7" s="9"/>
      <c r="L7" s="11"/>
    </row>
    <row r="8" spans="1:12" x14ac:dyDescent="0.3">
      <c r="A8" s="7" t="s">
        <v>13</v>
      </c>
      <c r="B8" s="7">
        <v>20</v>
      </c>
      <c r="C8" s="16">
        <f>SUM(C3:C6)</f>
        <v>1</v>
      </c>
      <c r="D8" s="16"/>
      <c r="E8" s="16"/>
      <c r="F8" s="16"/>
      <c r="G8" s="16"/>
      <c r="H8" s="16"/>
      <c r="J8" s="10" t="s">
        <v>13</v>
      </c>
      <c r="K8" s="7">
        <v>20</v>
      </c>
      <c r="L8" s="16">
        <f>SUM(L3:L6)</f>
        <v>1</v>
      </c>
    </row>
    <row r="10" spans="1:12" x14ac:dyDescent="0.3">
      <c r="A10" s="7" t="s">
        <v>14</v>
      </c>
      <c r="B10">
        <v>2200</v>
      </c>
      <c r="J10" s="10" t="s">
        <v>14</v>
      </c>
      <c r="K10" s="12">
        <v>700000</v>
      </c>
    </row>
    <row r="11" spans="1:12" x14ac:dyDescent="0.3">
      <c r="A11" s="7" t="s">
        <v>15</v>
      </c>
      <c r="B11" s="12">
        <f>(19699-17500)</f>
        <v>2199</v>
      </c>
      <c r="J11" s="7" t="s">
        <v>15</v>
      </c>
      <c r="K11" s="12">
        <f>(7199999-6500000)</f>
        <v>699999</v>
      </c>
    </row>
    <row r="12" spans="1:12" x14ac:dyDescent="0.3">
      <c r="A12" s="7" t="s">
        <v>20</v>
      </c>
      <c r="B12">
        <f>(19700-19699)/2</f>
        <v>0.5</v>
      </c>
      <c r="J12" s="7" t="s">
        <v>20</v>
      </c>
      <c r="K12">
        <f>(7200000-7199999)/2</f>
        <v>0.5</v>
      </c>
    </row>
    <row r="13" spans="1:12" x14ac:dyDescent="0.3">
      <c r="A13" s="7" t="s">
        <v>21</v>
      </c>
      <c r="B13">
        <f>(19699.5-17499.5)</f>
        <v>2200</v>
      </c>
      <c r="J13" s="7" t="s">
        <v>21</v>
      </c>
      <c r="K13">
        <f>(7199999.5-6499999.5)</f>
        <v>700000</v>
      </c>
    </row>
  </sheetData>
  <pageMargins left="0.7" right="0.7" top="0.75" bottom="0.75" header="0.3" footer="0.3"/>
  <ignoredErrors>
    <ignoredError sqref="L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E5CF-E7C0-47A8-8C9A-B056E9414CBC}">
  <dimension ref="A1:G50"/>
  <sheetViews>
    <sheetView topLeftCell="A21" workbookViewId="0">
      <selection activeCell="A43" sqref="A43"/>
    </sheetView>
  </sheetViews>
  <sheetFormatPr defaultRowHeight="14.4" x14ac:dyDescent="0.3"/>
  <cols>
    <col min="1" max="1" width="27.33203125" customWidth="1"/>
    <col min="2" max="2" width="33.33203125" bestFit="1" customWidth="1"/>
    <col min="3" max="3" width="27.44140625" customWidth="1"/>
    <col min="4" max="4" width="18.88671875" customWidth="1"/>
    <col min="6" max="6" width="18.109375" bestFit="1" customWidth="1"/>
    <col min="7" max="7" width="18.77734375" bestFit="1" customWidth="1"/>
  </cols>
  <sheetData>
    <row r="1" spans="1:7" x14ac:dyDescent="0.3">
      <c r="A1" s="7" t="s">
        <v>26</v>
      </c>
      <c r="B1" s="7"/>
    </row>
    <row r="2" spans="1:7" ht="15" thickBot="1" x14ac:dyDescent="0.35"/>
    <row r="3" spans="1:7" x14ac:dyDescent="0.3">
      <c r="A3" s="1" t="s">
        <v>36</v>
      </c>
      <c r="B3" s="1" t="s">
        <v>1</v>
      </c>
      <c r="C3" t="s">
        <v>27</v>
      </c>
      <c r="D3" s="17">
        <f>AVERAGE(WMUEnrollment3[WMU Grand Total All Students])</f>
        <v>22705.25</v>
      </c>
      <c r="F3" s="23" t="s">
        <v>36</v>
      </c>
      <c r="G3" s="23"/>
    </row>
    <row r="4" spans="1:7" x14ac:dyDescent="0.3">
      <c r="B4">
        <v>17559</v>
      </c>
      <c r="C4" t="s">
        <v>28</v>
      </c>
      <c r="D4" s="17">
        <f>MEDIAN(WMUEnrollment3[WMU Grand Total All Students])</f>
        <v>23735</v>
      </c>
    </row>
    <row r="5" spans="1:7" x14ac:dyDescent="0.3">
      <c r="B5">
        <v>17605</v>
      </c>
      <c r="C5" t="s">
        <v>29</v>
      </c>
      <c r="D5" t="e">
        <f>MODE(WMUEnrollment3[WMU Grand Total All Students])</f>
        <v>#N/A</v>
      </c>
      <c r="F5" t="s">
        <v>27</v>
      </c>
      <c r="G5">
        <v>22705.25</v>
      </c>
    </row>
    <row r="6" spans="1:7" x14ac:dyDescent="0.3">
      <c r="B6">
        <v>17835</v>
      </c>
      <c r="C6" t="s">
        <v>30</v>
      </c>
      <c r="D6" s="17">
        <f>(B23+B4)/2</f>
        <v>21899</v>
      </c>
      <c r="F6" t="s">
        <v>37</v>
      </c>
      <c r="G6" s="17">
        <v>615.338998888118</v>
      </c>
    </row>
    <row r="7" spans="1:7" x14ac:dyDescent="0.3">
      <c r="B7">
        <v>19038</v>
      </c>
      <c r="F7" t="s">
        <v>28</v>
      </c>
      <c r="G7">
        <v>23735</v>
      </c>
    </row>
    <row r="8" spans="1:7" x14ac:dyDescent="0.3">
      <c r="B8">
        <v>20490</v>
      </c>
      <c r="F8" t="s">
        <v>29</v>
      </c>
      <c r="G8" t="e">
        <v>#N/A</v>
      </c>
    </row>
    <row r="9" spans="1:7" x14ac:dyDescent="0.3">
      <c r="B9">
        <v>21470</v>
      </c>
      <c r="F9" t="s">
        <v>38</v>
      </c>
      <c r="G9">
        <v>2751.8796614409998</v>
      </c>
    </row>
    <row r="10" spans="1:7" x14ac:dyDescent="0.3">
      <c r="B10">
        <v>22562</v>
      </c>
      <c r="F10" t="s">
        <v>33</v>
      </c>
      <c r="G10">
        <v>7572841.6710526319</v>
      </c>
    </row>
    <row r="11" spans="1:7" x14ac:dyDescent="0.3">
      <c r="B11">
        <v>22894</v>
      </c>
      <c r="F11" t="s">
        <v>39</v>
      </c>
      <c r="G11">
        <v>-0.45326570999575155</v>
      </c>
    </row>
    <row r="12" spans="1:7" x14ac:dyDescent="0.3">
      <c r="B12">
        <v>23252</v>
      </c>
      <c r="C12" t="s">
        <v>31</v>
      </c>
      <c r="D12" s="20">
        <f>(B23-B4)</f>
        <v>8680</v>
      </c>
      <c r="F12" t="s">
        <v>40</v>
      </c>
      <c r="G12">
        <v>-0.93140026197667469</v>
      </c>
    </row>
    <row r="13" spans="1:7" x14ac:dyDescent="0.3">
      <c r="B13">
        <v>23556</v>
      </c>
      <c r="C13" t="s">
        <v>32</v>
      </c>
      <c r="D13" s="17">
        <f>_xlfn.VAR.P(WMUEnrollment3[WMU Grand Total All Students])</f>
        <v>7194199.5875000004</v>
      </c>
      <c r="F13" t="s">
        <v>31</v>
      </c>
      <c r="G13">
        <v>8680</v>
      </c>
    </row>
    <row r="14" spans="1:7" x14ac:dyDescent="0.3">
      <c r="B14">
        <v>23914</v>
      </c>
      <c r="C14" t="s">
        <v>33</v>
      </c>
      <c r="D14" s="17">
        <f>_xlfn.VAR.S(WMUEnrollment3[WMU Grand Total All Students])</f>
        <v>7572841.6710526319</v>
      </c>
      <c r="F14" t="s">
        <v>41</v>
      </c>
      <c r="G14">
        <v>17559</v>
      </c>
    </row>
    <row r="15" spans="1:7" x14ac:dyDescent="0.3">
      <c r="B15">
        <v>24294</v>
      </c>
      <c r="C15" t="s">
        <v>34</v>
      </c>
      <c r="D15" s="17">
        <f>_xlfn.STDEV.P(WMUEnrollment3[WMU Grand Total All Students])</f>
        <v>2682.2005121727943</v>
      </c>
      <c r="F15" t="s">
        <v>42</v>
      </c>
      <c r="G15">
        <v>26239</v>
      </c>
    </row>
    <row r="16" spans="1:7" x14ac:dyDescent="0.3">
      <c r="B16">
        <v>24433</v>
      </c>
      <c r="C16" t="s">
        <v>35</v>
      </c>
      <c r="D16" s="17">
        <f>_xlfn.STDEV.S(WMUEnrollment3[WMU Grand Total All Students])</f>
        <v>2751.8796614409998</v>
      </c>
      <c r="F16" t="s">
        <v>43</v>
      </c>
      <c r="G16">
        <v>454105</v>
      </c>
    </row>
    <row r="17" spans="2:7" ht="15" thickBot="1" x14ac:dyDescent="0.35">
      <c r="B17">
        <v>24576</v>
      </c>
      <c r="F17" s="21" t="s">
        <v>7</v>
      </c>
      <c r="G17" s="21">
        <v>20</v>
      </c>
    </row>
    <row r="18" spans="2:7" x14ac:dyDescent="0.3">
      <c r="B18">
        <v>24598</v>
      </c>
    </row>
    <row r="19" spans="2:7" x14ac:dyDescent="0.3">
      <c r="B19">
        <v>24818</v>
      </c>
    </row>
    <row r="20" spans="2:7" x14ac:dyDescent="0.3">
      <c r="B20">
        <v>24841</v>
      </c>
    </row>
    <row r="21" spans="2:7" x14ac:dyDescent="0.3">
      <c r="B21">
        <v>25045</v>
      </c>
    </row>
    <row r="22" spans="2:7" x14ac:dyDescent="0.3">
      <c r="B22">
        <v>25086</v>
      </c>
    </row>
    <row r="23" spans="2:7" x14ac:dyDescent="0.3">
      <c r="B23">
        <v>26239</v>
      </c>
    </row>
    <row r="29" spans="2:7" ht="15" thickBot="1" x14ac:dyDescent="0.35"/>
    <row r="30" spans="2:7" x14ac:dyDescent="0.3">
      <c r="B30" t="s">
        <v>5</v>
      </c>
      <c r="C30" t="s">
        <v>27</v>
      </c>
      <c r="D30" s="19">
        <f>AVERAGE(B31:B50)</f>
        <v>8034981.2000000002</v>
      </c>
      <c r="F30" s="23" t="s">
        <v>36</v>
      </c>
      <c r="G30" s="23"/>
    </row>
    <row r="31" spans="2:7" x14ac:dyDescent="0.3">
      <c r="B31" s="2">
        <v>6519001</v>
      </c>
      <c r="C31" t="s">
        <v>28</v>
      </c>
      <c r="D31" s="19">
        <f>MEDIAN(B31:B50)</f>
        <v>8177483.5</v>
      </c>
    </row>
    <row r="32" spans="2:7" x14ac:dyDescent="0.3">
      <c r="B32" s="2">
        <v>6806918</v>
      </c>
      <c r="C32" t="s">
        <v>29</v>
      </c>
      <c r="D32" t="e">
        <f>MODE(B31:B50)</f>
        <v>#N/A</v>
      </c>
      <c r="F32" t="s">
        <v>27</v>
      </c>
      <c r="G32" s="17">
        <v>8034981.2000000002</v>
      </c>
    </row>
    <row r="33" spans="2:7" x14ac:dyDescent="0.3">
      <c r="B33" s="2">
        <v>7098723</v>
      </c>
      <c r="C33" t="s">
        <v>30</v>
      </c>
      <c r="D33" s="17">
        <f>(B50+B31)/2</f>
        <v>7736759.5</v>
      </c>
      <c r="F33" t="s">
        <v>37</v>
      </c>
      <c r="G33">
        <v>171796.12955229965</v>
      </c>
    </row>
    <row r="34" spans="2:7" x14ac:dyDescent="0.3">
      <c r="B34" s="2">
        <v>7231147</v>
      </c>
      <c r="F34" t="s">
        <v>28</v>
      </c>
      <c r="G34" s="17">
        <v>8177483.5</v>
      </c>
    </row>
    <row r="35" spans="2:7" x14ac:dyDescent="0.3">
      <c r="B35" s="2">
        <v>7365987</v>
      </c>
      <c r="F35" t="s">
        <v>29</v>
      </c>
      <c r="G35" t="e">
        <v>#N/A</v>
      </c>
    </row>
    <row r="36" spans="2:7" x14ac:dyDescent="0.3">
      <c r="B36" s="2">
        <v>7426691</v>
      </c>
      <c r="F36" t="s">
        <v>38</v>
      </c>
      <c r="G36">
        <v>768295.64790060511</v>
      </c>
    </row>
    <row r="37" spans="2:7" x14ac:dyDescent="0.3">
      <c r="B37" s="2">
        <v>7604098</v>
      </c>
      <c r="F37" t="s">
        <v>33</v>
      </c>
      <c r="G37" s="25">
        <v>590278202583.01099</v>
      </c>
    </row>
    <row r="38" spans="2:7" x14ac:dyDescent="0.3">
      <c r="B38" s="2">
        <v>7788013</v>
      </c>
      <c r="F38" t="s">
        <v>39</v>
      </c>
      <c r="G38" s="17">
        <v>-1.0104483365541959</v>
      </c>
    </row>
    <row r="39" spans="2:7" x14ac:dyDescent="0.3">
      <c r="B39" s="2">
        <v>7877129</v>
      </c>
      <c r="C39" t="s">
        <v>31</v>
      </c>
      <c r="D39" s="19">
        <f>(B50-B31)</f>
        <v>2435517</v>
      </c>
      <c r="F39" t="s">
        <v>40</v>
      </c>
      <c r="G39" s="17">
        <v>-0.45530327556212685</v>
      </c>
    </row>
    <row r="40" spans="2:7" x14ac:dyDescent="0.3">
      <c r="B40" s="2">
        <v>8151016</v>
      </c>
      <c r="C40" t="s">
        <v>32</v>
      </c>
      <c r="D40" s="19">
        <f>_xlfn.VAR.P(B31:B50)</f>
        <v>560764292453.86011</v>
      </c>
      <c r="F40" t="s">
        <v>31</v>
      </c>
      <c r="G40">
        <v>2435517</v>
      </c>
    </row>
    <row r="41" spans="2:7" x14ac:dyDescent="0.3">
      <c r="B41" s="2">
        <v>8203951</v>
      </c>
      <c r="C41" t="s">
        <v>33</v>
      </c>
      <c r="D41" s="17">
        <f>_xlfn.VAR.S(B31:B50)</f>
        <v>590278202583.01062</v>
      </c>
      <c r="F41" t="s">
        <v>41</v>
      </c>
      <c r="G41">
        <v>6519001</v>
      </c>
    </row>
    <row r="42" spans="2:7" x14ac:dyDescent="0.3">
      <c r="B42" s="2">
        <v>8378374</v>
      </c>
      <c r="C42" t="s">
        <v>34</v>
      </c>
      <c r="D42">
        <f>_xlfn.STDEV.P(B31:B50)</f>
        <v>748841.96760989574</v>
      </c>
      <c r="F42" t="s">
        <v>42</v>
      </c>
      <c r="G42">
        <v>8954518</v>
      </c>
    </row>
    <row r="43" spans="2:7" x14ac:dyDescent="0.3">
      <c r="B43" s="2">
        <v>8537332</v>
      </c>
      <c r="C43" t="s">
        <v>35</v>
      </c>
      <c r="D43">
        <f>_xlfn.STDEV.S(B31:B50)</f>
        <v>768295.64790060511</v>
      </c>
      <c r="F43" t="s">
        <v>43</v>
      </c>
      <c r="G43">
        <v>160699624</v>
      </c>
    </row>
    <row r="44" spans="2:7" ht="15" thickBot="1" x14ac:dyDescent="0.35">
      <c r="B44" s="2">
        <v>8575544</v>
      </c>
      <c r="F44" s="21" t="s">
        <v>7</v>
      </c>
      <c r="G44" s="21">
        <v>20</v>
      </c>
    </row>
    <row r="45" spans="2:7" x14ac:dyDescent="0.3">
      <c r="B45" s="2">
        <v>8695475</v>
      </c>
    </row>
    <row r="46" spans="2:7" x14ac:dyDescent="0.3">
      <c r="B46" s="2">
        <v>8808736</v>
      </c>
    </row>
    <row r="47" spans="2:7" x14ac:dyDescent="0.3">
      <c r="B47" s="2">
        <v>8826591</v>
      </c>
    </row>
    <row r="48" spans="2:7" x14ac:dyDescent="0.3">
      <c r="B48" s="2">
        <v>8909430</v>
      </c>
    </row>
    <row r="49" spans="2:2" x14ac:dyDescent="0.3">
      <c r="B49" s="2">
        <v>8940950</v>
      </c>
    </row>
    <row r="50" spans="2:2" x14ac:dyDescent="0.3">
      <c r="B50" s="2">
        <v>8954518</v>
      </c>
    </row>
  </sheetData>
  <sortState xmlns:xlrd2="http://schemas.microsoft.com/office/spreadsheetml/2017/richdata2" ref="B31:B50">
    <sortCondition ref="B31:B50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CF74-EE25-41D9-83D2-B857B5A953D5}">
  <dimension ref="A2:I11"/>
  <sheetViews>
    <sheetView workbookViewId="0">
      <selection activeCell="G7" sqref="G7"/>
    </sheetView>
  </sheetViews>
  <sheetFormatPr defaultRowHeight="14.4" x14ac:dyDescent="0.3"/>
  <cols>
    <col min="2" max="2" width="9.5546875" bestFit="1" customWidth="1"/>
    <col min="3" max="3" width="12" bestFit="1" customWidth="1"/>
    <col min="4" max="4" width="20.33203125" customWidth="1"/>
    <col min="5" max="5" width="10.88671875" customWidth="1"/>
    <col min="7" max="7" width="13.88671875" bestFit="1" customWidth="1"/>
    <col min="8" max="8" width="13.44140625" bestFit="1" customWidth="1"/>
  </cols>
  <sheetData>
    <row r="2" spans="1:9" x14ac:dyDescent="0.3">
      <c r="C2" s="17">
        <f>_xlfn.STDEV.S(WMUEnrollment3[WMU Grand Total All Students])</f>
        <v>2751.8796614409998</v>
      </c>
      <c r="G2" s="18">
        <v>768295.64789999998</v>
      </c>
    </row>
    <row r="3" spans="1:9" x14ac:dyDescent="0.3">
      <c r="C3" s="17">
        <f>AVERAGE(WMUEnrollment3[WMU Grand Total All Students])</f>
        <v>22705.25</v>
      </c>
      <c r="G3" s="19">
        <v>8034981.2000000002</v>
      </c>
    </row>
    <row r="7" spans="1:9" x14ac:dyDescent="0.3">
      <c r="A7" s="7" t="s">
        <v>37</v>
      </c>
      <c r="C7" s="17">
        <f>2751.8797/SQRT(20)</f>
        <v>615.33900751017279</v>
      </c>
      <c r="G7">
        <f>768295.6479/SQRT(20)</f>
        <v>171796.12955216435</v>
      </c>
    </row>
    <row r="9" spans="1:9" x14ac:dyDescent="0.3">
      <c r="A9" s="7" t="s">
        <v>44</v>
      </c>
      <c r="C9" t="s">
        <v>45</v>
      </c>
      <c r="G9" t="s">
        <v>48</v>
      </c>
    </row>
    <row r="11" spans="1:9" x14ac:dyDescent="0.3">
      <c r="A11" s="7" t="s">
        <v>46</v>
      </c>
      <c r="C11" s="17">
        <f>22705.25-2.093*C7</f>
        <v>21417.345457281208</v>
      </c>
      <c r="D11" s="24" t="s">
        <v>47</v>
      </c>
      <c r="E11" s="17">
        <f>22705.25+2.093*C7</f>
        <v>23993.154542718792</v>
      </c>
      <c r="G11">
        <f>G3-2.093*G7</f>
        <v>7675411.9008473204</v>
      </c>
      <c r="H11" s="24" t="s">
        <v>47</v>
      </c>
      <c r="I11">
        <f>G3+2.093*G7</f>
        <v>8394550.4991526809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BFD5-8504-4D82-A12E-787A9DA0AA18}">
  <dimension ref="B2:M61"/>
  <sheetViews>
    <sheetView tabSelected="1" topLeftCell="D46" workbookViewId="0">
      <selection activeCell="E67" sqref="E67"/>
    </sheetView>
  </sheetViews>
  <sheetFormatPr defaultRowHeight="14.4" x14ac:dyDescent="0.3"/>
  <cols>
    <col min="2" max="2" width="19.44140625" bestFit="1" customWidth="1"/>
    <col min="3" max="3" width="33.33203125" bestFit="1" customWidth="1"/>
    <col min="5" max="5" width="18" bestFit="1" customWidth="1"/>
    <col min="6" max="6" width="12" bestFit="1" customWidth="1"/>
    <col min="7" max="7" width="14.5546875" bestFit="1" customWidth="1"/>
    <col min="8" max="9" width="12" bestFit="1" customWidth="1"/>
    <col min="10" max="10" width="13.44140625" bestFit="1" customWidth="1"/>
    <col min="11" max="11" width="12" bestFit="1" customWidth="1"/>
    <col min="12" max="12" width="31" bestFit="1" customWidth="1"/>
    <col min="13" max="13" width="12.5546875" bestFit="1" customWidth="1"/>
  </cols>
  <sheetData>
    <row r="2" spans="2:12" x14ac:dyDescent="0.3">
      <c r="B2" s="1" t="s">
        <v>0</v>
      </c>
      <c r="C2" s="1" t="s">
        <v>1</v>
      </c>
      <c r="K2" t="s">
        <v>2</v>
      </c>
      <c r="L2" t="s">
        <v>5</v>
      </c>
    </row>
    <row r="3" spans="2:12" x14ac:dyDescent="0.3">
      <c r="B3">
        <v>2005</v>
      </c>
      <c r="C3">
        <v>26239</v>
      </c>
      <c r="K3">
        <v>2005</v>
      </c>
      <c r="L3" s="2">
        <v>6519001</v>
      </c>
    </row>
    <row r="4" spans="2:12" x14ac:dyDescent="0.3">
      <c r="B4">
        <v>2006</v>
      </c>
      <c r="C4">
        <v>24841</v>
      </c>
      <c r="K4">
        <v>2006</v>
      </c>
      <c r="L4" s="2">
        <v>6806918</v>
      </c>
    </row>
    <row r="5" spans="2:12" x14ac:dyDescent="0.3">
      <c r="B5">
        <v>2007</v>
      </c>
      <c r="C5">
        <v>24433</v>
      </c>
      <c r="K5">
        <v>2007</v>
      </c>
      <c r="L5" s="2">
        <v>7098723</v>
      </c>
    </row>
    <row r="6" spans="2:12" x14ac:dyDescent="0.3">
      <c r="B6">
        <v>2008</v>
      </c>
      <c r="C6">
        <v>24818</v>
      </c>
      <c r="K6">
        <v>2008</v>
      </c>
      <c r="L6" s="2">
        <v>7426691</v>
      </c>
    </row>
    <row r="7" spans="2:12" x14ac:dyDescent="0.3">
      <c r="B7">
        <v>2009</v>
      </c>
      <c r="C7">
        <v>24576</v>
      </c>
      <c r="K7">
        <v>2009</v>
      </c>
      <c r="L7" s="2">
        <v>7788013</v>
      </c>
    </row>
    <row r="8" spans="2:12" x14ac:dyDescent="0.3">
      <c r="B8">
        <v>2010</v>
      </c>
      <c r="C8">
        <v>25045</v>
      </c>
      <c r="K8">
        <v>2010</v>
      </c>
      <c r="L8" s="2">
        <v>8203951</v>
      </c>
    </row>
    <row r="9" spans="2:12" x14ac:dyDescent="0.3">
      <c r="B9">
        <v>2011</v>
      </c>
      <c r="C9">
        <v>25086</v>
      </c>
      <c r="K9">
        <v>2011</v>
      </c>
      <c r="L9" s="2">
        <v>8575544</v>
      </c>
    </row>
    <row r="10" spans="2:12" x14ac:dyDescent="0.3">
      <c r="B10">
        <v>2012</v>
      </c>
      <c r="C10">
        <v>24598</v>
      </c>
      <c r="K10">
        <v>2012</v>
      </c>
      <c r="L10" s="2">
        <v>8826591</v>
      </c>
    </row>
    <row r="11" spans="2:12" x14ac:dyDescent="0.3">
      <c r="B11">
        <v>2013</v>
      </c>
      <c r="C11">
        <v>24294</v>
      </c>
      <c r="K11">
        <v>2013</v>
      </c>
      <c r="L11" s="2">
        <v>8940950</v>
      </c>
    </row>
    <row r="12" spans="2:12" x14ac:dyDescent="0.3">
      <c r="B12">
        <v>2014</v>
      </c>
      <c r="C12">
        <v>23914</v>
      </c>
      <c r="K12">
        <v>2014</v>
      </c>
      <c r="L12" s="2">
        <v>8954518</v>
      </c>
    </row>
    <row r="13" spans="2:12" x14ac:dyDescent="0.3">
      <c r="B13">
        <v>2015</v>
      </c>
      <c r="C13">
        <v>23556</v>
      </c>
      <c r="K13">
        <v>2015</v>
      </c>
      <c r="L13" s="2">
        <v>8909430</v>
      </c>
    </row>
    <row r="14" spans="2:12" x14ac:dyDescent="0.3">
      <c r="B14">
        <v>2016</v>
      </c>
      <c r="C14">
        <v>23252</v>
      </c>
      <c r="K14">
        <v>2016</v>
      </c>
      <c r="L14" s="2">
        <v>8808736</v>
      </c>
    </row>
    <row r="15" spans="2:12" x14ac:dyDescent="0.3">
      <c r="B15">
        <v>2017</v>
      </c>
      <c r="C15">
        <v>22894</v>
      </c>
      <c r="K15">
        <v>2017</v>
      </c>
      <c r="L15" s="2">
        <v>8695475</v>
      </c>
    </row>
    <row r="16" spans="2:12" x14ac:dyDescent="0.3">
      <c r="B16">
        <v>2018</v>
      </c>
      <c r="C16">
        <v>22562</v>
      </c>
      <c r="K16">
        <v>2018</v>
      </c>
      <c r="L16" s="2">
        <v>8537332</v>
      </c>
    </row>
    <row r="17" spans="2:12" x14ac:dyDescent="0.3">
      <c r="B17">
        <v>2019</v>
      </c>
      <c r="C17">
        <v>21470</v>
      </c>
      <c r="K17">
        <v>2019</v>
      </c>
      <c r="L17" s="2">
        <v>8378374</v>
      </c>
    </row>
    <row r="18" spans="2:12" x14ac:dyDescent="0.3">
      <c r="B18">
        <v>2020</v>
      </c>
      <c r="C18">
        <v>20490</v>
      </c>
      <c r="K18">
        <v>2020</v>
      </c>
      <c r="L18" s="2">
        <v>8151016</v>
      </c>
    </row>
    <row r="19" spans="2:12" x14ac:dyDescent="0.3">
      <c r="B19">
        <v>2021</v>
      </c>
      <c r="C19">
        <v>19038</v>
      </c>
      <c r="K19">
        <v>2021</v>
      </c>
      <c r="L19" s="2">
        <v>7877129</v>
      </c>
    </row>
    <row r="20" spans="2:12" x14ac:dyDescent="0.3">
      <c r="B20">
        <v>2022</v>
      </c>
      <c r="C20">
        <v>17835</v>
      </c>
      <c r="K20">
        <v>2022</v>
      </c>
      <c r="L20" s="2">
        <v>7604098</v>
      </c>
    </row>
    <row r="21" spans="2:12" x14ac:dyDescent="0.3">
      <c r="B21">
        <v>2023</v>
      </c>
      <c r="C21">
        <v>17559</v>
      </c>
      <c r="K21">
        <v>2023</v>
      </c>
      <c r="L21" s="2">
        <v>7365987</v>
      </c>
    </row>
    <row r="22" spans="2:12" x14ac:dyDescent="0.3">
      <c r="B22">
        <v>2024</v>
      </c>
      <c r="C22">
        <v>17605</v>
      </c>
      <c r="K22">
        <v>2024</v>
      </c>
      <c r="L22" s="2">
        <v>7231147</v>
      </c>
    </row>
    <row r="25" spans="2:12" ht="15" thickBot="1" x14ac:dyDescent="0.35"/>
    <row r="26" spans="2:12" x14ac:dyDescent="0.3">
      <c r="B26" s="7" t="s">
        <v>71</v>
      </c>
      <c r="E26" s="23"/>
      <c r="F26" s="23"/>
    </row>
    <row r="27" spans="2:12" x14ac:dyDescent="0.3">
      <c r="C27" s="17">
        <f>CORREL(L3:L22,WMUEnrollment4[WMU Grand Total All Students])</f>
        <v>0.12808178459873235</v>
      </c>
    </row>
    <row r="31" spans="2:12" ht="15" thickBot="1" x14ac:dyDescent="0.35">
      <c r="E31" s="21"/>
      <c r="F31" s="21"/>
    </row>
    <row r="33" spans="5:13" ht="15" thickBot="1" x14ac:dyDescent="0.35"/>
    <row r="34" spans="5:13" x14ac:dyDescent="0.3">
      <c r="E34" s="22"/>
      <c r="F34" s="22"/>
      <c r="G34" s="22"/>
      <c r="H34" s="22"/>
      <c r="I34" s="22"/>
      <c r="J34" s="22"/>
    </row>
    <row r="37" spans="5:13" ht="15" thickBot="1" x14ac:dyDescent="0.35">
      <c r="E37" s="21"/>
      <c r="F37" s="21"/>
      <c r="G37" s="21"/>
      <c r="H37" s="21"/>
      <c r="I37" s="21"/>
      <c r="J37" s="21"/>
    </row>
    <row r="38" spans="5:13" ht="15" thickBot="1" x14ac:dyDescent="0.35"/>
    <row r="39" spans="5:13" x14ac:dyDescent="0.3">
      <c r="E39" s="22"/>
      <c r="F39" s="22"/>
      <c r="G39" s="22"/>
      <c r="H39" s="22"/>
      <c r="I39" s="22"/>
      <c r="J39" s="22"/>
      <c r="K39" s="22"/>
      <c r="L39" s="22"/>
      <c r="M39" s="22"/>
    </row>
    <row r="41" spans="5:13" ht="15" thickBot="1" x14ac:dyDescent="0.35">
      <c r="E41" s="21"/>
      <c r="F41" s="21"/>
      <c r="G41" s="21"/>
      <c r="H41" s="21"/>
      <c r="I41" s="21"/>
      <c r="J41" s="21"/>
      <c r="K41" s="21"/>
      <c r="L41" s="21"/>
      <c r="M41" s="21"/>
    </row>
    <row r="44" spans="5:13" x14ac:dyDescent="0.3">
      <c r="E44" t="s">
        <v>49</v>
      </c>
    </row>
    <row r="45" spans="5:13" ht="15" thickBot="1" x14ac:dyDescent="0.35"/>
    <row r="46" spans="5:13" x14ac:dyDescent="0.3">
      <c r="E46" s="23" t="s">
        <v>50</v>
      </c>
      <c r="F46" s="23"/>
    </row>
    <row r="47" spans="5:13" x14ac:dyDescent="0.3">
      <c r="E47" t="s">
        <v>51</v>
      </c>
      <c r="F47">
        <v>0.12808178459873312</v>
      </c>
    </row>
    <row r="48" spans="5:13" x14ac:dyDescent="0.3">
      <c r="E48" t="s">
        <v>52</v>
      </c>
      <c r="F48">
        <v>1.6404943545996271E-2</v>
      </c>
    </row>
    <row r="49" spans="5:13" x14ac:dyDescent="0.3">
      <c r="E49" t="s">
        <v>53</v>
      </c>
      <c r="F49">
        <v>-3.8239226257003933E-2</v>
      </c>
    </row>
    <row r="50" spans="5:13" x14ac:dyDescent="0.3">
      <c r="E50" t="s">
        <v>37</v>
      </c>
      <c r="F50">
        <v>2804.0009409985014</v>
      </c>
    </row>
    <row r="51" spans="5:13" ht="15" thickBot="1" x14ac:dyDescent="0.35">
      <c r="E51" s="21" t="s">
        <v>54</v>
      </c>
      <c r="F51" s="21">
        <v>20</v>
      </c>
    </row>
    <row r="53" spans="5:13" ht="15" thickBot="1" x14ac:dyDescent="0.35">
      <c r="E53" t="s">
        <v>55</v>
      </c>
    </row>
    <row r="54" spans="5:13" x14ac:dyDescent="0.3">
      <c r="E54" s="22"/>
      <c r="F54" s="22" t="s">
        <v>59</v>
      </c>
      <c r="G54" s="22" t="s">
        <v>60</v>
      </c>
      <c r="H54" s="22" t="s">
        <v>61</v>
      </c>
      <c r="I54" s="22" t="s">
        <v>62</v>
      </c>
      <c r="J54" s="22" t="s">
        <v>63</v>
      </c>
    </row>
    <row r="55" spans="5:13" x14ac:dyDescent="0.3">
      <c r="E55" t="s">
        <v>56</v>
      </c>
      <c r="F55">
        <v>1</v>
      </c>
      <c r="G55">
        <v>2360408.7618313432</v>
      </c>
      <c r="H55">
        <v>2360408.7618313432</v>
      </c>
      <c r="I55">
        <v>0.3002139771752112</v>
      </c>
      <c r="J55">
        <v>0.59047907511116782</v>
      </c>
    </row>
    <row r="56" spans="5:13" x14ac:dyDescent="0.3">
      <c r="E56" t="s">
        <v>57</v>
      </c>
      <c r="F56">
        <v>18</v>
      </c>
      <c r="G56">
        <v>141523582.98816866</v>
      </c>
      <c r="H56">
        <v>7862421.2771204812</v>
      </c>
    </row>
    <row r="57" spans="5:13" ht="15" thickBot="1" x14ac:dyDescent="0.35">
      <c r="E57" s="21" t="s">
        <v>13</v>
      </c>
      <c r="F57" s="21">
        <v>19</v>
      </c>
      <c r="G57" s="21">
        <v>143883991.75</v>
      </c>
      <c r="H57" s="21"/>
      <c r="I57" s="21"/>
      <c r="J57" s="21"/>
    </row>
    <row r="58" spans="5:13" ht="15" thickBot="1" x14ac:dyDescent="0.35"/>
    <row r="59" spans="5:13" x14ac:dyDescent="0.3">
      <c r="E59" s="22"/>
      <c r="F59" s="22" t="s">
        <v>64</v>
      </c>
      <c r="G59" s="22" t="s">
        <v>37</v>
      </c>
      <c r="H59" s="22" t="s">
        <v>65</v>
      </c>
      <c r="I59" s="22" t="s">
        <v>66</v>
      </c>
      <c r="J59" s="22" t="s">
        <v>67</v>
      </c>
      <c r="K59" s="22" t="s">
        <v>68</v>
      </c>
      <c r="L59" s="22" t="s">
        <v>69</v>
      </c>
      <c r="M59" s="22" t="s">
        <v>70</v>
      </c>
    </row>
    <row r="60" spans="5:13" x14ac:dyDescent="0.3">
      <c r="E60" t="s">
        <v>58</v>
      </c>
      <c r="F60">
        <v>19019.097483423589</v>
      </c>
      <c r="G60">
        <v>6756.7181536047392</v>
      </c>
      <c r="H60">
        <v>2.8148425094920997</v>
      </c>
      <c r="I60">
        <v>1.1465953176629668E-2</v>
      </c>
      <c r="J60">
        <v>4823.7593948186623</v>
      </c>
      <c r="K60">
        <v>33214.435572028517</v>
      </c>
      <c r="L60">
        <v>4823.7593948186623</v>
      </c>
      <c r="M60">
        <v>33214.435572028517</v>
      </c>
    </row>
    <row r="61" spans="5:13" ht="15" thickBot="1" x14ac:dyDescent="0.35">
      <c r="E61" s="21" t="s">
        <v>72</v>
      </c>
      <c r="F61" s="21">
        <v>4.5876305430265493E-4</v>
      </c>
      <c r="G61" s="21">
        <v>8.3728436495860347E-4</v>
      </c>
      <c r="H61" s="21">
        <v>0.54791785622957001</v>
      </c>
      <c r="I61" s="21">
        <v>0.59047907511116993</v>
      </c>
      <c r="J61" s="21">
        <v>-1.300306121988096E-3</v>
      </c>
      <c r="K61" s="21">
        <v>2.2178322305934058E-3</v>
      </c>
      <c r="L61" s="21">
        <v>-1.300306121988096E-3</v>
      </c>
      <c r="M61" s="21">
        <v>2.2178322305934058E-3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Sets</vt:lpstr>
      <vt:lpstr>Frequency Distributions</vt:lpstr>
      <vt:lpstr>Descriptive Statistics</vt:lpstr>
      <vt:lpstr>Confidence Intervals</vt:lpstr>
      <vt:lpstr>Statistical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 Behymer</cp:lastModifiedBy>
  <dcterms:created xsi:type="dcterms:W3CDTF">2026-01-25T03:41:36Z</dcterms:created>
  <dcterms:modified xsi:type="dcterms:W3CDTF">2026-04-13T01:54:08Z</dcterms:modified>
</cp:coreProperties>
</file>